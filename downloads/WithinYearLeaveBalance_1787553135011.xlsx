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ad51429664b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27fe99f06849448c6061cd9b85a8b5.psmdcp" Id="R2237a5e3d06d44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calcChain.xml><?xml version="1.0" encoding="utf-8"?>
<x:calcChain xmlns:x="http://schemas.openxmlformats.org/spreadsheetml/2006/main">
  <x:c r="M2" i="2"/>
  <x:c r="N2" i="2"/>
  <x:c r="O2" i="2"/>
  <x:c r="M3" i="2"/>
  <x:c r="N3" i="2"/>
  <x:c r="O3" i="2"/>
  <x:c r="M4" i="2"/>
  <x:c r="N4" i="2"/>
  <x:c r="O4" i="2"/>
  <x:c r="M5" i="2"/>
  <x:c r="N5" i="2"/>
  <x:c r="O5" i="2"/>
</x:calcChain>
</file>

<file path=xl/sharedStrings.xml><?xml version="1.0" encoding="utf-8"?>
<x:sst xmlns:x="http://schemas.openxmlformats.org/spreadsheetml/2006/main" count="30" uniqueCount="30">
  <x:si>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</x:si>
  <x:si>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</x:si>
  <x:si>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</x:si>
  <x:si>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</x:si>
  <x:si>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</x:si>
  <x:si>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</x:si>
  <x:si>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</x:si>
  <x:si>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</x:si>
  <x:si>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</x:si>
  <x:si>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Contract_Opening_Balance</x:t>
  </x:si>
  <x:si>
    <x:t>Contract_Closing_Balance</x:t>
  </x:si>
  <x:si>
    <x:t>Leave_Credit_Period_Opening_Balance</x:t>
  </x:si>
  <x:si>
    <x:t>Leave_Credit_Period_Closing_Balance</x:t>
  </x:si>
  <x:si>
    <x:t>Leave_Credit_Current_Balance</x:t>
  </x:si>
  <x:si>
    <x:t>Contract_Current_Balance</x:t>
  </x:si>
  <x:si>
    <x:t>PeopleGroup</x:t>
  </x:si>
  <x:si>
    <x:t>Laps_Within_Year</x:t>
  </x:si>
  <x:si>
    <x:t>500-100123</x:t>
  </x:si>
  <x:si>
    <x:t>Priya Shaha</x:t>
  </x:si>
  <x:si>
    <x:t>Please Process Leave For ID :500100123 &amp; Leave Type : CL</x:t>
  </x:si>
  <x:si>
    <x:t>Contracted</x:t>
  </x:si>
  <x:si>
    <x:t>500-100125</x:t>
  </x:si>
  <x:si>
    <x:t>Smita Joshi</x:t>
  </x:si>
  <x:si>
    <x:t>Please Process Leave For ID :500100125 &amp; Leave Type : CL</x:t>
  </x:si>
  <x:si>
    <x:t>500-100127</x:t>
  </x:si>
  <x:si>
    <x:t>Slok Jadhav</x:t>
  </x:si>
  <x:si>
    <x:t>Please Process Leave For ID :500100127 &amp; Leave Type : CL</x:t>
  </x:si>
  <x:si>
    <x:t>500-100129</x:t>
  </x:si>
  <x:si>
    <x:t>Piya Gov</x:t>
  </x:si>
  <x:si>
    <x:t>Please Process Leave For ID :500100129 &amp; Leave Type : CL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</x:si>
</x:sst>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/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Q5" totalsRowShown="0">
  <x:autoFilter ref="A1:Q5"/>
  <x:tableColumns count="17">
    <x:tableColumn id="1" name="CID"/>
    <x:tableColumn id="2" name="EmpId"/>
    <x:tableColumn id="3" name="AlfaNumeric"/>
    <x:tableColumn id="4" name="Name" dataDxfId="0"/>
    <x:tableColumn id="5" name="Abbreviation" dataDxfId="0"/>
    <x:tableColumn id="6" name="Contract_Start_Date" dataDxfId="1"/>
    <x:tableColumn id="7" name="Contract_End_Date" dataDxfId="1"/>
    <x:tableColumn id="8" name="Leave_Credit_Period_From" dataDxfId="1"/>
    <x:tableColumn id="9" name="Leave_Credit_Period_To" dataDxfId="1"/>
    <x:tableColumn id="10" name="Contract_Opening_Balance" dataDxfId="0"/>
    <x:tableColumn id="11" name="Contract_Closing_Balance" dataDxfId="0"/>
    <x:tableColumn id="12" name="Leave_Credit_Period_Opening_Balance" dataDxfId="0"/>
    <x:tableColumn id="13" name="Leave_Credit_Period_Closing_Balance">
      <x:calculatedColumnFormula>K2</x:calculatedColumnFormula>
    </x:tableColumn>
    <x:tableColumn id="14" name="Leave_Credit_Current_Balance">
      <x:calculatedColumnFormula>SUM(L2:M2)</x:calculatedColumnFormula>
    </x:tableColumn>
    <x:tableColumn id="15" name="Contract_Current_Balance">
      <x:calculatedColumnFormula>SUM(J2:K2)</x:calculatedColumnFormula>
    </x:tableColumn>
    <x:tableColumn id="16" name="PeopleGroup"/>
    <x:tableColumn id="17" name="Laps_Within_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5"/>
  <x:sheetViews>
    <x:sheetView workbookViewId="0"/>
  </x:sheetViews>
  <x:sheetFormatPr defaultRowHeight="15"/>
  <x:cols>
    <x:col min="1" max="1" width="6.710625" style="1" customWidth="1"/>
    <x:col min="2" max="2" width="12.710625" style="1" customWidth="1"/>
    <x:col min="3" max="3" width="9.140625" style="1" customWidth="1"/>
    <x:col min="4" max="4" width="20.710625" style="1" customWidth="1"/>
    <x:col min="5" max="5" width="23.710625" style="1" customWidth="1"/>
    <x:col min="6" max="6" width="25.710625" style="1" customWidth="1"/>
    <x:col min="7" max="7" width="23.710625" style="1" customWidth="1"/>
    <x:col min="8" max="9" width="25.710625" style="1" customWidth="1"/>
    <x:col min="10" max="10" width="28.710625" style="1" customWidth="1"/>
    <x:col min="11" max="11" width="35.710625" style="1" customWidth="1"/>
    <x:col min="12" max="12" width="28.710625" style="1" customWidth="1"/>
    <x:col min="13" max="13" width="25.710625" style="1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n">
        <x:v>100</x:v>
      </x:c>
      <x:c r="B2" s="0" t="n">
        <x:v>500100123</x:v>
      </x:c>
      <x:c r="C2" s="0" t="s">
        <x:v>17</x:v>
      </x:c>
      <x:c r="D2" s="1" t="s">
        <x:v>18</x:v>
      </x:c>
      <x:c r="E2" s="1" t="s">
        <x:v>19</x:v>
      </x:c>
      <x:c r="F2" s="2" t="s"/>
      <x:c r="G2" s="2" t="s"/>
      <x:c r="H2" s="2" t="s"/>
      <x:c r="I2" s="2" t="s"/>
      <x:c r="J2" s="1" t="s"/>
      <x:c r="K2" s="1" t="s"/>
      <x:c r="L2" s="1" t="s"/>
      <x:c r="M2" s="0">
        <x:f>K2</x:f>
      </x:c>
      <x:c r="N2" s="0">
        <x:f>SUM(L2:M2)</x:f>
      </x:c>
      <x:c r="O2" s="0">
        <x:f>SUM(J2:K2)</x:f>
      </x:c>
      <x:c r="P2" s="0" t="s">
        <x:v>20</x:v>
      </x:c>
      <x:c r="Q2" s="0" t="n">
        <x:v>0</x:v>
      </x:c>
    </x:row>
    <x:row r="3" spans="1:17">
      <x:c r="A3" s="0" t="n">
        <x:v>100</x:v>
      </x:c>
      <x:c r="B3" s="0" t="n">
        <x:v>500100125</x:v>
      </x:c>
      <x:c r="C3" s="0" t="s">
        <x:v>21</x:v>
      </x:c>
      <x:c r="D3" s="1" t="s">
        <x:v>22</x:v>
      </x:c>
      <x:c r="E3" s="1" t="s">
        <x:v>23</x:v>
      </x:c>
      <x:c r="F3" s="2" t="s"/>
      <x:c r="G3" s="2" t="s"/>
      <x:c r="H3" s="2" t="s"/>
      <x:c r="I3" s="2" t="s"/>
      <x:c r="J3" s="1" t="s"/>
      <x:c r="K3" s="1" t="s"/>
      <x:c r="L3" s="1" t="s"/>
      <x:c r="M3" s="0">
        <x:f>K3</x:f>
      </x:c>
      <x:c r="N3" s="0">
        <x:f>SUM(L3:M3)</x:f>
      </x:c>
      <x:c r="O3" s="0">
        <x:f>SUM(J3:K3)</x:f>
      </x:c>
      <x:c r="P3" s="0" t="s">
        <x:v>20</x:v>
      </x:c>
      <x:c r="Q3" s="0" t="n">
        <x:v>0</x:v>
      </x:c>
    </x:row>
    <x:row r="4" spans="1:17">
      <x:c r="A4" s="0" t="n">
        <x:v>100</x:v>
      </x:c>
      <x:c r="B4" s="0" t="n">
        <x:v>500100127</x:v>
      </x:c>
      <x:c r="C4" s="0" t="s">
        <x:v>24</x:v>
      </x:c>
      <x:c r="D4" s="1" t="s">
        <x:v>25</x:v>
      </x:c>
      <x:c r="E4" s="1" t="s">
        <x:v>26</x:v>
      </x:c>
      <x:c r="F4" s="2" t="s"/>
      <x:c r="G4" s="2" t="s"/>
      <x:c r="H4" s="2" t="s"/>
      <x:c r="I4" s="2" t="s"/>
      <x:c r="J4" s="1" t="s"/>
      <x:c r="K4" s="1" t="s"/>
      <x:c r="L4" s="1" t="s"/>
      <x:c r="M4" s="0">
        <x:f>K4</x:f>
      </x:c>
      <x:c r="N4" s="0">
        <x:f>SUM(L4:M4)</x:f>
      </x:c>
      <x:c r="O4" s="0">
        <x:f>SUM(J4:K4)</x:f>
      </x:c>
      <x:c r="P4" s="0" t="s">
        <x:v>20</x:v>
      </x:c>
      <x:c r="Q4" s="0" t="n">
        <x:v>0</x:v>
      </x:c>
    </x:row>
    <x:row r="5" spans="1:17">
      <x:c r="A5" s="0" t="n">
        <x:v>100</x:v>
      </x:c>
      <x:c r="B5" s="0" t="n">
        <x:v>500100129</x:v>
      </x:c>
      <x:c r="C5" s="0" t="s">
        <x:v>27</x:v>
      </x:c>
      <x:c r="D5" s="1" t="s">
        <x:v>28</x:v>
      </x:c>
      <x:c r="E5" s="1" t="s">
        <x:v>29</x:v>
      </x:c>
      <x:c r="F5" s="2" t="s"/>
      <x:c r="G5" s="2" t="s"/>
      <x:c r="H5" s="2" t="s"/>
      <x:c r="I5" s="2" t="s"/>
      <x:c r="J5" s="1" t="s"/>
      <x:c r="K5" s="1" t="s"/>
      <x:c r="L5" s="1" t="s"/>
      <x:c r="M5" s="0">
        <x:f>K5</x:f>
      </x:c>
      <x:c r="N5" s="0">
        <x:f>SUM(L5:M5)</x:f>
      </x:c>
      <x:c r="O5" s="0">
        <x:f>SUM(J5:K5)</x:f>
      </x:c>
      <x:c r="P5" s="0" t="s">
        <x:v>20</x:v>
      </x:c>
      <x:c r="Q5" s="0" t="n">
        <x:v>0</x:v>
      </x:c>
    </x:row>
  </x:sheetData>
  <x:sheetProtection password="CC45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